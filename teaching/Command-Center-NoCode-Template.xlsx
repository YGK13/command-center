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Pipeline" sheetId="3" state="visible" r:id="rId3"/>
    <sheet xmlns:r="http://schemas.openxmlformats.org/officeDocument/2006/relationships" name="Goals" sheetId="4" state="visible" r:id="rId4"/>
    <sheet xmlns:r="http://schemas.openxmlformats.org/officeDocument/2006/relationships" name="Tasks" sheetId="5" state="visible" r:id="rId5"/>
    <sheet xmlns:r="http://schemas.openxmlformats.org/officeDocument/2006/relationships" name="Feeds" sheetId="6" state="visible" r:id="rId6"/>
    <sheet xmlns:r="http://schemas.openxmlformats.org/officeDocument/2006/relationships"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2">
    <font>
      <name val="Calibri"/>
      <family val="2"/>
      <color theme="1"/>
      <sz val="11"/>
      <scheme val="minor"/>
    </font>
    <font>
      <b val="1"/>
      <color rgb="000EA5E9"/>
      <sz val="22"/>
    </font>
    <font>
      <color rgb="003D5068"/>
      <sz val="12"/>
    </font>
    <font>
      <b val="1"/>
      <color rgb="00E7EEF5"/>
      <sz val="13"/>
    </font>
    <font>
      <color rgb="009FB3C6"/>
      <sz val="11"/>
    </font>
    <font>
      <b val="1"/>
      <color rgb="00E7EEF5"/>
      <sz val="11"/>
    </font>
    <font>
      <i val="1"/>
      <color rgb="003D5068"/>
      <sz val="10"/>
    </font>
    <font>
      <b val="1"/>
      <color rgb="000EA5E9"/>
      <sz val="20"/>
    </font>
    <font>
      <color rgb="003D5068"/>
      <sz val="11"/>
    </font>
    <font>
      <b val="1"/>
      <color rgb="009FB3C6"/>
      <sz val="10"/>
    </font>
    <font>
      <b val="1"/>
      <color rgb="00E7EEF5"/>
      <sz val="18"/>
    </font>
    <font>
      <b val="1"/>
      <color rgb="000EA5E9"/>
      <sz val="11"/>
    </font>
  </fonts>
  <fills count="3">
    <fill>
      <patternFill/>
    </fill>
    <fill>
      <patternFill patternType="gray125"/>
    </fill>
    <fill>
      <patternFill patternType="solid">
        <fgColor rgb="0012283A"/>
      </patternFill>
    </fill>
  </fills>
  <borders count="2">
    <border>
      <left/>
      <right/>
      <top/>
      <bottom/>
      <diagonal/>
    </border>
    <border>
      <left style="thin">
        <color rgb="002A3F52"/>
      </left>
      <right style="thin">
        <color rgb="002A3F52"/>
      </right>
      <top style="thin">
        <color rgb="002A3F52"/>
      </top>
      <bottom style="thin">
        <color rgb="002A3F5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9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1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F6D5"/>
        </patternFill>
      </fill>
    </dxf>
    <dxf>
      <fill>
        <patternFill patternType="solid">
          <fgColor rgb="00FAF0C8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COMMAND CENTER</t>
        </is>
      </c>
    </row>
    <row r="3">
      <c r="B3" s="2" t="inlineStr">
        <is>
          <t>No-Code template, run your business on one spreadsheet.</t>
        </is>
      </c>
    </row>
    <row r="5">
      <c r="B5" s="3" t="inlineStr">
        <is>
          <t>How to use this template</t>
        </is>
      </c>
    </row>
    <row r="6">
      <c r="B6" s="4" t="inlineStr">
        <is>
          <t>1. Fill the Companies tab with your projects or service lines. Use an honest health score 0-100.</t>
        </is>
      </c>
    </row>
    <row r="7">
      <c r="B7" s="4" t="inlineStr">
        <is>
          <t>2. Add your deals on Pipeline, your goals on Goals, your to-dos on Tasks.</t>
        </is>
      </c>
    </row>
    <row r="8">
      <c r="B8" s="4" t="inlineStr">
        <is>
          <t>3. List the 3-5 news sources you follow on Feeds, with the decision each one informs.</t>
        </is>
      </c>
    </row>
    <row r="9">
      <c r="B9" s="4" t="inlineStr">
        <is>
          <t>4. Open the Dashboard tab. It totals everything and shows your top tasks automatically.</t>
        </is>
      </c>
    </row>
    <row r="10">
      <c r="B10" s="4" t="inlineStr">
        <is>
          <t>5. Set a recurring 7:00 AM calendar event: "Open Command Center, commit to 3." That is your engine.</t>
        </is>
      </c>
    </row>
    <row r="11">
      <c r="B11" s="4" t="inlineStr"/>
    </row>
    <row r="12">
      <c r="B12" s="4" t="inlineStr">
        <is>
          <t>The health column turns red below 50, amber 50-69, green 70+. One glance reads the whole portfolio.</t>
        </is>
      </c>
    </row>
    <row r="13">
      <c r="B13" s="4" t="inlineStr"/>
    </row>
    <row r="14">
      <c r="B14" s="4" t="inlineStr">
        <is>
          <t>When you outgrow this, the columns map one-to-one onto the Full-Code app's data file (scripts/data.mjs).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42" customWidth="1" min="6" max="6"/>
    <col width="30" customWidth="1" min="7" max="7"/>
  </cols>
  <sheetData>
    <row r="1" ht="24" customHeight="1">
      <c r="A1" s="5" t="inlineStr">
        <is>
          <t>Company / Project</t>
        </is>
      </c>
      <c r="B1" s="5" t="inlineStr">
        <is>
          <t>Health (0-100)</t>
        </is>
      </c>
      <c r="C1" s="5" t="inlineStr">
        <is>
          <t>Revenue now</t>
        </is>
      </c>
      <c r="D1" s="5" t="inlineStr">
        <is>
          <t>Revenue target</t>
        </is>
      </c>
      <c r="E1" s="5" t="inlineStr">
        <is>
          <t>Pipeline value</t>
        </is>
      </c>
      <c r="F1" s="5" t="inlineStr">
        <is>
          <t>Focus action (the one next move)</t>
        </is>
      </c>
      <c r="G1" s="5" t="inlineStr">
        <is>
          <t>Notes</t>
        </is>
      </c>
    </row>
    <row r="2">
      <c r="A2" s="6" t="inlineStr">
        <is>
          <t>Acme Consulting</t>
        </is>
      </c>
      <c r="B2" s="6" t="n">
        <v>60</v>
      </c>
      <c r="C2" s="6" t="n">
        <v>0</v>
      </c>
      <c r="D2" s="6" t="n">
        <v>12500</v>
      </c>
      <c r="E2" s="6" t="n">
        <v>84000</v>
      </c>
      <c r="F2" s="6" t="inlineStr">
        <is>
          <t>Send the Series B proposal you keep dodging</t>
        </is>
      </c>
      <c r="G2" s="6" t="inlineStr"/>
    </row>
    <row r="3">
      <c r="A3" s="6" t="inlineStr">
        <is>
          <t>Side Newsletter</t>
        </is>
      </c>
      <c r="B3" s="6" t="n">
        <v>45</v>
      </c>
      <c r="C3" s="6" t="n">
        <v>0</v>
      </c>
      <c r="D3" s="6" t="n">
        <v>1000</v>
      </c>
      <c r="E3" s="6" t="n">
        <v>0</v>
      </c>
      <c r="F3" s="6" t="inlineStr">
        <is>
          <t>Wire up the email signup form</t>
        </is>
      </c>
      <c r="G3" s="6" t="inlineStr"/>
    </row>
    <row r="4">
      <c r="A4" s="6" t="inlineStr">
        <is>
          <t>Advisory Practice</t>
        </is>
      </c>
      <c r="B4" s="6" t="n">
        <v>72</v>
      </c>
      <c r="C4" s="6" t="n">
        <v>5000</v>
      </c>
      <c r="D4" s="6" t="n">
        <v>8000</v>
      </c>
      <c r="E4" s="6" t="n">
        <v>36000</v>
      </c>
      <c r="F4" s="6" t="inlineStr">
        <is>
          <t>Convert the two warm intros to calls</t>
        </is>
      </c>
      <c r="G4" s="6" t="inlineStr"/>
    </row>
  </sheetData>
  <conditionalFormatting sqref="B2:B200">
    <cfRule type="cellIs" priority="1" operator="greaterThanOrEqual" dxfId="0">
      <formula>70</formula>
    </cfRule>
    <cfRule type="cellIs" priority="2" operator="between" dxfId="1">
      <formula>50</formula>
      <formula>69</formula>
    </cfRule>
    <cfRule type="cellIs" priority="3" operator="lessThan" dxfId="2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4" customWidth="1" min="4" max="4"/>
    <col width="36" customWidth="1" min="5" max="5"/>
    <col width="14" customWidth="1" min="6" max="6"/>
  </cols>
  <sheetData>
    <row r="1" ht="24" customHeight="1">
      <c r="A1" s="5" t="inlineStr">
        <is>
          <t>Company</t>
        </is>
      </c>
      <c r="B1" s="5" t="inlineStr">
        <is>
          <t>Deal / Contact</t>
        </is>
      </c>
      <c r="C1" s="5" t="inlineStr">
        <is>
          <t>Value</t>
        </is>
      </c>
      <c r="D1" s="5" t="inlineStr">
        <is>
          <t>Stage</t>
        </is>
      </c>
      <c r="E1" s="5" t="inlineStr">
        <is>
          <t>Next action</t>
        </is>
      </c>
      <c r="F1" s="5" t="inlineStr">
        <is>
          <t>Due date</t>
        </is>
      </c>
    </row>
    <row r="2">
      <c r="A2" s="6" t="inlineStr">
        <is>
          <t>Acme Consulting</t>
        </is>
      </c>
      <c r="B2" s="6" t="inlineStr">
        <is>
          <t>Series B SaaS pilot</t>
        </is>
      </c>
      <c r="C2" s="6" t="n">
        <v>84000</v>
      </c>
      <c r="D2" s="6" t="inlineStr">
        <is>
          <t>Qualified</t>
        </is>
      </c>
      <c r="E2" s="6" t="inlineStr">
        <is>
          <t>Book discovery call</t>
        </is>
      </c>
      <c r="F2" s="6" t="inlineStr">
        <is>
          <t>2026-06-15</t>
        </is>
      </c>
      <c r="H2" s="7" t="inlineStr">
        <is>
          <t>Stages: Cold, Warm, Qualified, Proposal, Closed</t>
        </is>
      </c>
    </row>
    <row r="3">
      <c r="A3" s="6" t="inlineStr">
        <is>
          <t>Advisory Practice</t>
        </is>
      </c>
      <c r="B3" s="6" t="inlineStr">
        <is>
          <t>PE fund advisory</t>
        </is>
      </c>
      <c r="C3" s="6" t="n">
        <v>36000</v>
      </c>
      <c r="D3" s="6" t="inlineStr">
        <is>
          <t>Warm</t>
        </is>
      </c>
      <c r="E3" s="6" t="inlineStr">
        <is>
          <t>Send one-pager</t>
        </is>
      </c>
      <c r="F3" s="6" t="inlineStr">
        <is>
          <t>2026-06-20</t>
        </is>
      </c>
    </row>
    <row r="4">
      <c r="A4" s="6" t="inlineStr">
        <is>
          <t>Acme Consulting</t>
        </is>
      </c>
      <c r="B4" s="6" t="inlineStr">
        <is>
          <t>Enterprise audit</t>
        </is>
      </c>
      <c r="C4" s="6" t="n">
        <v>45000</v>
      </c>
      <c r="D4" s="6" t="inlineStr">
        <is>
          <t>Cold</t>
        </is>
      </c>
      <c r="E4" s="6" t="inlineStr">
        <is>
          <t>Referral intro</t>
        </is>
      </c>
      <c r="F4" s="6" t="inlineStr">
        <is>
          <t>2026-06-30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5" t="inlineStr">
        <is>
          <t>Company</t>
        </is>
      </c>
      <c r="B1" s="5" t="inlineStr">
        <is>
          <t>Goal / Objective</t>
        </is>
      </c>
      <c r="C1" s="5" t="inlineStr">
        <is>
          <t>Key result</t>
        </is>
      </c>
      <c r="D1" s="5" t="inlineStr">
        <is>
          <t>Current</t>
        </is>
      </c>
      <c r="E1" s="5" t="inlineStr">
        <is>
          <t>Target</t>
        </is>
      </c>
      <c r="F1" s="5" t="inlineStr">
        <is>
          <t>% (auto)</t>
        </is>
      </c>
    </row>
    <row r="2">
      <c r="A2" s="6" t="inlineStr">
        <is>
          <t>Acme Consulting</t>
        </is>
      </c>
      <c r="B2" s="6" t="inlineStr">
        <is>
          <t>Land first pilot, $12.5K MRR</t>
        </is>
      </c>
      <c r="C2" s="6" t="inlineStr">
        <is>
          <t>Discovery calls</t>
        </is>
      </c>
      <c r="D2" s="6" t="n">
        <v>2</v>
      </c>
      <c r="E2" s="6" t="n">
        <v>6</v>
      </c>
      <c r="F2" s="8">
        <f>IFERROR(MIN(1,D2/E2),0)</f>
        <v/>
      </c>
    </row>
    <row r="3">
      <c r="A3" s="6" t="inlineStr">
        <is>
          <t>Acme Consulting</t>
        </is>
      </c>
      <c r="B3" s="6" t="inlineStr">
        <is>
          <t>Land first pilot, $12.5K MRR</t>
        </is>
      </c>
      <c r="C3" s="6" t="inlineStr">
        <is>
          <t>Proposals sent</t>
        </is>
      </c>
      <c r="D3" s="6" t="n">
        <v>1</v>
      </c>
      <c r="E3" s="6" t="n">
        <v>3</v>
      </c>
      <c r="F3" s="8">
        <f>IFERROR(MIN(1,D3/E3),0)</f>
        <v/>
      </c>
    </row>
    <row r="4">
      <c r="A4" s="6" t="inlineStr">
        <is>
          <t>Acme Consulting</t>
        </is>
      </c>
      <c r="B4" s="6" t="inlineStr">
        <is>
          <t>Land first pilot, $12.5K MRR</t>
        </is>
      </c>
      <c r="C4" s="6" t="inlineStr">
        <is>
          <t>MRR ($)</t>
        </is>
      </c>
      <c r="D4" s="6" t="n">
        <v>0</v>
      </c>
      <c r="E4" s="6" t="n">
        <v>12500</v>
      </c>
      <c r="F4" s="8">
        <f>IFERROR(MIN(1,D4/E4),0)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14" customWidth="1" min="4" max="4"/>
    <col width="14" customWidth="1" min="5" max="5"/>
    <col width="8" customWidth="1" min="6" max="6"/>
  </cols>
  <sheetData>
    <row r="1" ht="24" customHeight="1">
      <c r="A1" s="5" t="inlineStr">
        <is>
          <t>Priority</t>
        </is>
      </c>
      <c r="B1" s="5" t="inlineStr">
        <is>
          <t>Company</t>
        </is>
      </c>
      <c r="C1" s="5" t="inlineStr">
        <is>
          <t>Task</t>
        </is>
      </c>
      <c r="D1" s="5" t="inlineStr">
        <is>
          <t>Category</t>
        </is>
      </c>
      <c r="E1" s="5" t="inlineStr">
        <is>
          <t>Due date</t>
        </is>
      </c>
      <c r="F1" s="5" t="inlineStr">
        <is>
          <t>Done?</t>
        </is>
      </c>
    </row>
    <row r="2">
      <c r="A2" s="6" t="inlineStr">
        <is>
          <t>Critical</t>
        </is>
      </c>
      <c r="B2" s="6" t="inlineStr">
        <is>
          <t>Acme Consulting</t>
        </is>
      </c>
      <c r="C2" s="6" t="inlineStr">
        <is>
          <t>Send the Series B proposal</t>
        </is>
      </c>
      <c r="D2" s="6" t="inlineStr">
        <is>
          <t>Sales</t>
        </is>
      </c>
      <c r="E2" s="6" t="inlineStr">
        <is>
          <t>2026-06-09</t>
        </is>
      </c>
      <c r="F2" s="6" t="inlineStr"/>
    </row>
    <row r="3">
      <c r="A3" s="6" t="inlineStr">
        <is>
          <t>High</t>
        </is>
      </c>
      <c r="B3" s="6" t="inlineStr">
        <is>
          <t>Advisory Practice</t>
        </is>
      </c>
      <c r="C3" s="6" t="inlineStr">
        <is>
          <t>Prep the PE one-pager</t>
        </is>
      </c>
      <c r="D3" s="6" t="inlineStr">
        <is>
          <t>Sales</t>
        </is>
      </c>
      <c r="E3" s="6" t="inlineStr">
        <is>
          <t>2026-06-11</t>
        </is>
      </c>
      <c r="F3" s="6" t="inlineStr"/>
    </row>
    <row r="4">
      <c r="A4" s="6" t="inlineStr">
        <is>
          <t>Medium</t>
        </is>
      </c>
      <c r="B4" s="6" t="inlineStr">
        <is>
          <t>Side Newsletter</t>
        </is>
      </c>
      <c r="C4" s="6" t="inlineStr">
        <is>
          <t>Draft the welcome email</t>
        </is>
      </c>
      <c r="D4" s="6" t="inlineStr">
        <is>
          <t>Content</t>
        </is>
      </c>
      <c r="E4" s="6" t="inlineStr">
        <is>
          <t>2026-06-14</t>
        </is>
      </c>
      <c r="F4" s="6" t="inlineStr"/>
    </row>
  </sheetData>
  <conditionalFormatting sqref="A2:A200">
    <cfRule type="cellIs" priority="1" operator="equal" dxfId="2">
      <formula>"Critical"</formula>
    </cfRule>
    <cfRule type="cellIs" priority="2" operator="equal" dxfId="1">
      <formula>"High"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40" customWidth="1" min="3" max="3"/>
    <col width="18" customWidth="1" min="4" max="4"/>
  </cols>
  <sheetData>
    <row r="1" ht="24" customHeight="1">
      <c r="A1" s="5" t="inlineStr">
        <is>
          <t>Source / Topic</t>
        </is>
      </c>
      <c r="B1" s="5" t="inlineStr">
        <is>
          <t>Where (URL or app)</t>
        </is>
      </c>
      <c r="C1" s="5" t="inlineStr">
        <is>
          <t>The decision this informs</t>
        </is>
      </c>
      <c r="D1" s="5" t="inlineStr">
        <is>
          <t>Keep? (review monthly)</t>
        </is>
      </c>
    </row>
    <row r="2">
      <c r="A2" s="6" t="inlineStr">
        <is>
          <t>AI in my industry</t>
        </is>
      </c>
      <c r="B2" s="6" t="inlineStr">
        <is>
          <t>Google Alert / news search</t>
        </is>
      </c>
      <c r="C2" s="6" t="inlineStr">
        <is>
          <t>When to reposition my offer</t>
        </is>
      </c>
      <c r="D2" s="6" t="inlineStr">
        <is>
          <t>Keep</t>
        </is>
      </c>
    </row>
    <row r="3">
      <c r="A3" s="6" t="inlineStr">
        <is>
          <t>Competitor moves</t>
        </is>
      </c>
      <c r="B3" s="6" t="inlineStr">
        <is>
          <t>LinkedIn / news</t>
        </is>
      </c>
      <c r="C3" s="6" t="inlineStr">
        <is>
          <t>What to differentiate against</t>
        </is>
      </c>
      <c r="D3" s="6" t="inlineStr">
        <is>
          <t>Keep</t>
        </is>
      </c>
    </row>
    <row r="4">
      <c r="A4" s="6" t="inlineStr">
        <is>
          <t>My market's funding news</t>
        </is>
      </c>
      <c r="B4" s="6" t="inlineStr">
        <is>
          <t>Industry newsletter</t>
        </is>
      </c>
      <c r="C4" s="6" t="inlineStr">
        <is>
          <t>Who just raised and might buy</t>
        </is>
      </c>
      <c r="D4" s="6" t="inlineStr">
        <is>
          <t>Audition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4" customWidth="1" min="4" max="4"/>
    <col width="20" customWidth="1" min="5" max="5"/>
    <col width="18" customWidth="1" min="6" max="6"/>
    <col width="22" customWidth="1" min="7" max="7"/>
  </cols>
  <sheetData>
    <row r="2">
      <c r="B2" s="9" t="inlineStr">
        <is>
          <t>DASHBOARD</t>
        </is>
      </c>
    </row>
    <row r="3">
      <c r="B3" s="10" t="inlineStr">
        <is>
          <t>Auto-calculated. Pin this tab. Glance every morning.</t>
        </is>
      </c>
    </row>
    <row r="5">
      <c r="B5" s="11" t="inlineStr">
        <is>
          <t>TOTAL PIPELINE</t>
        </is>
      </c>
      <c r="D5" s="11" t="inlineStr">
        <is>
          <t>ACTIVE REVENUE</t>
        </is>
      </c>
      <c r="F5" s="11" t="inlineStr">
        <is>
          <t>OPEN CRITICAL TASKS</t>
        </is>
      </c>
    </row>
    <row r="6">
      <c r="B6" s="12">
        <f>SUM(Pipeline!C2:C200)</f>
        <v/>
      </c>
      <c r="D6" s="12">
        <f>SUM(Companies!C2:C200)</f>
        <v/>
      </c>
      <c r="F6" s="13">
        <f>COUNTIFS(Tasks!A2:A200,"Critical",Tasks!F2:F200,"")</f>
        <v/>
      </c>
    </row>
    <row r="8">
      <c r="B8" s="11" t="inlineStr">
        <is>
          <t>COMPANIES TRACKED</t>
        </is>
      </c>
      <c r="D8" s="11" t="inlineStr">
        <is>
          <t>DEALS IN PIPELINE</t>
        </is>
      </c>
      <c r="F8" s="11" t="inlineStr">
        <is>
          <t>AVG HEALTH</t>
        </is>
      </c>
    </row>
    <row r="9">
      <c r="B9" s="13">
        <f>COUNTA(Companies!A2:A200)</f>
        <v/>
      </c>
      <c r="D9" s="13">
        <f>COUNTA(Pipeline!A2:A200)</f>
        <v/>
      </c>
      <c r="F9" s="13">
        <f>IFERROR(ROUND(AVERAGE(Companies!B2:B200),0),0)</f>
        <v/>
      </c>
    </row>
    <row r="11">
      <c r="B11" s="14" t="inlineStr">
        <is>
          <t>PIPELINE BY COMPANY</t>
        </is>
      </c>
    </row>
    <row r="12">
      <c r="B12" s="11" t="inlineStr">
        <is>
          <t>Company</t>
        </is>
      </c>
      <c r="C12" s="11" t="inlineStr">
        <is>
          <t>Pipeline value</t>
        </is>
      </c>
    </row>
    <row r="13">
      <c r="B13">
        <f>IF(Companies!A2="","",Companies!A2)</f>
        <v/>
      </c>
      <c r="C13" s="15">
        <f>IF(Companies!A2="","",SUMIF(Pipeline!A:A,Companies!A2,Pipeline!C:C))</f>
        <v/>
      </c>
    </row>
    <row r="14">
      <c r="B14">
        <f>IF(Companies!A3="","",Companies!A3)</f>
        <v/>
      </c>
      <c r="C14" s="15">
        <f>IF(Companies!A3="","",SUMIF(Pipeline!A:A,Companies!A3,Pipeline!C:C))</f>
        <v/>
      </c>
    </row>
    <row r="15">
      <c r="B15">
        <f>IF(Companies!A4="","",Companies!A4)</f>
        <v/>
      </c>
      <c r="C15" s="15">
        <f>IF(Companies!A4="","",SUMIF(Pipeline!A:A,Companies!A4,Pipeline!C:C))</f>
        <v/>
      </c>
    </row>
    <row r="18">
      <c r="B18" s="7" t="inlineStr">
        <is>
          <t>TIP: change the rows in the source tabs and this dashboard updates itself.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2026-06-07T05:43:38Z</dcterms:created>
  <dcterms:modified xmlns:dcterms="http://purl.org/dc/terms/" xmlns:xsi="http://www.w3.org/2001/XMLSchema-instance" xsi:type="dcterms:W3CDTF">2026-06-07T05:43:38Z</dcterms:modified>
</cp:coreProperties>
</file>